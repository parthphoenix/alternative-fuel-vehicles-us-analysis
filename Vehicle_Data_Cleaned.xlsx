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Pictures\data analyst\"/>
    </mc:Choice>
  </mc:AlternateContent>
  <xr:revisionPtr revIDLastSave="0" documentId="8_{96DB811D-2976-4CEE-9569-27D02C3C2BF9}" xr6:coauthVersionLast="47" xr6:coauthVersionMax="47" xr10:uidLastSave="{00000000-0000-0000-0000-000000000000}"/>
  <bookViews>
    <workbookView xWindow="-120" yWindow="-120" windowWidth="29040" windowHeight="15720" xr2:uid="{CFBEB3CD-05DE-47B1-8454-15350EB65D03}"/>
  </bookViews>
  <sheets>
    <sheet name="Vehicle Data" sheetId="1" r:id="rId1"/>
  </sheets>
  <calcPr calcId="0"/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2" i="1"/>
</calcChain>
</file>

<file path=xl/sharedStrings.xml><?xml version="1.0" encoding="utf-8"?>
<sst xmlns="http://schemas.openxmlformats.org/spreadsheetml/2006/main" count="70" uniqueCount="70">
  <si>
    <t>State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</si>
  <si>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</si>
  <si>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</si>
  <si>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</si>
  <si>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</si>
  <si>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</si>
  <si>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</si>
  <si>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</si>
  <si>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</si>
  <si>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</si>
  <si>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</si>
  <si>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</si>
  <si>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</si>
  <si>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</si>
  <si>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</si>
  <si>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</si>
  <si>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</si>
  <si>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</si>
  <si>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</si>
  <si>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</si>
  <si>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</si>
  <si>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</si>
  <si>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</si>
  <si>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</si>
  <si>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</si>
  <si>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</si>
  <si>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</si>
  <si>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</si>
  <si>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</si>
  <si>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</si>
  <si>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</si>
  <si>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</si>
  <si>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</si>
  <si>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</si>
  <si>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</si>
  <si>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</si>
  <si>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</si>
  <si>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</si>
  <si>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</si>
  <si>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</si>
  <si>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</si>
  <si>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</si>
  <si>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</si>
  <si>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</si>
  <si>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</si>
  <si>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</si>
  <si>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</si>
  <si>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</si>
  <si>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</si>
  <si>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</si>
  <si>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</si>
  <si>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</si>
  <si>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</si>
  <si>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</si>
  <si>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</si>
  <si>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</si>
  <si>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</si>
  <si>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</si>
  <si>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</si>
  <si>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</si>
  <si>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</si>
  <si>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</si>
  <si>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</si>
  <si>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</si>
  <si>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Total Vehicles</t>
  </si>
  <si>
    <t>Hev%</t>
  </si>
  <si>
    <t>Phev%</t>
  </si>
  <si>
    <t>Ev%</t>
  </si>
  <si>
    <t>Gasoline %</t>
  </si>
  <si>
    <t>Alternative Fuel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</si>
</sst>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49" fontId="0" fillId="0" borderId="0" xfId="0" applyNumberFormat="1"/>
    <xf numFmtId="10" fontId="0" fillId="0" borderId="0" xfId="0" applyNumberFormat="1"/>
    <xf numFmtId="9" fontId="0" fillId="0" borderId="0" xfId="1" applyFont="1"/>
    <xf numFmtId="10" fontId="0" fillId="0" borderId="0" xfId="1" applyNumberFormat="1" applyFont="1"/>
    <xf numFmtId="49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A568-97C6-4E16-9D0D-FD03F028964E}">
  <dimension ref="A1:U52"/>
  <sheetViews>
    <sheetView tabSelected="1" topLeftCell="F1" workbookViewId="0">
      <selection activeCell="T4" sqref="T4"/>
    </sheetView>
  </sheetViews>
  <sheetFormatPr defaultRowHeight="15" x14ac:dyDescent="0.25"/>
  <cols>
    <col min="2" max="2" width="13.85546875" style="1" customWidth="1"/>
    <col min="3" max="3" width="34.5703125" style="1" customWidth="1"/>
    <col min="4" max="4" width="18.5703125" style="1" customWidth="1"/>
    <col min="5" max="5" width="17.5703125" style="1" customWidth="1"/>
    <col min="6" max="6" width="19.5703125" style="1" customWidth="1"/>
    <col min="7" max="7" width="14.28515625" style="1" customWidth="1"/>
    <col min="8" max="8" width="14.85546875" style="1" customWidth="1"/>
    <col min="9" max="9" width="15.5703125" style="1" customWidth="1"/>
    <col min="10" max="10" width="16.5703125" style="1" customWidth="1"/>
    <col min="11" max="11" width="21.7109375" style="1" customWidth="1"/>
    <col min="12" max="12" width="20" style="1" customWidth="1"/>
    <col min="13" max="13" width="35.28515625" style="1" customWidth="1"/>
    <col min="14" max="14" width="15.28515625" customWidth="1"/>
    <col min="18" max="18" width="13.85546875" customWidth="1"/>
    <col min="19" max="19" width="17" customWidth="1"/>
  </cols>
  <sheetData>
    <row r="1" spans="1:21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64</v>
      </c>
      <c r="O1" s="2" t="s">
        <v>67</v>
      </c>
      <c r="P1" s="2" t="s">
        <v>66</v>
      </c>
      <c r="Q1" s="2" t="s">
        <v>65</v>
      </c>
      <c r="R1" s="6" t="s">
        <v>68</v>
      </c>
      <c r="S1" s="2" t="s">
        <v>69</v>
      </c>
      <c r="T1" s="2"/>
    </row>
    <row r="2" spans="1:21" x14ac:dyDescent="0.25">
      <c r="A2" t="s">
        <v>13</v>
      </c>
      <c r="B2" s="1">
        <v>13000</v>
      </c>
      <c r="C2" s="1">
        <v>5800</v>
      </c>
      <c r="D2" s="1">
        <v>63300</v>
      </c>
      <c r="E2" s="1">
        <v>54200</v>
      </c>
      <c r="F2" s="1">
        <v>441200</v>
      </c>
      <c r="G2" s="1">
        <v>100</v>
      </c>
      <c r="H2" s="1">
        <v>100</v>
      </c>
      <c r="I2" s="1">
        <v>0</v>
      </c>
      <c r="J2" s="1">
        <v>0</v>
      </c>
      <c r="K2" s="1">
        <v>4102200</v>
      </c>
      <c r="L2" s="1">
        <v>127000</v>
      </c>
      <c r="M2" s="1">
        <v>29000</v>
      </c>
      <c r="N2" s="1">
        <f>SUM(B2:M2)</f>
        <v>4835900</v>
      </c>
      <c r="O2" s="3">
        <f>B2/N2</f>
        <v>2.6882276308443104E-3</v>
      </c>
      <c r="P2" s="3">
        <f>C2/$N2</f>
        <v>1.1993630968382307E-3</v>
      </c>
      <c r="Q2" s="3">
        <f>D2/$N2</f>
        <v>1.3089600694803449E-2</v>
      </c>
      <c r="R2" s="4">
        <f>K2/$N2</f>
        <v>0.84828056824996378</v>
      </c>
      <c r="S2" s="4">
        <f>(B2+C2+D2+E2+F2+G2+H2+I2+J2)/$N2</f>
        <v>0.11946070017990447</v>
      </c>
      <c r="T2" s="5"/>
      <c r="U2" s="4"/>
    </row>
    <row r="3" spans="1:21" x14ac:dyDescent="0.25">
      <c r="A3" t="s">
        <v>14</v>
      </c>
      <c r="B3" s="1">
        <v>2700</v>
      </c>
      <c r="C3" s="1">
        <v>900</v>
      </c>
      <c r="D3" s="1">
        <v>10600</v>
      </c>
      <c r="E3" s="1">
        <v>9600</v>
      </c>
      <c r="F3" s="1">
        <v>46800</v>
      </c>
      <c r="G3" s="1">
        <v>0</v>
      </c>
      <c r="H3" s="1">
        <v>0</v>
      </c>
      <c r="I3" s="1">
        <v>0</v>
      </c>
      <c r="J3" s="1">
        <v>0</v>
      </c>
      <c r="K3" s="1">
        <v>454300</v>
      </c>
      <c r="L3" s="1">
        <v>29800</v>
      </c>
      <c r="M3" s="1">
        <v>5100</v>
      </c>
      <c r="N3" s="1">
        <f t="shared" ref="N3:N52" si="0">SUM(B3:M3)</f>
        <v>559800</v>
      </c>
      <c r="O3" s="3">
        <f t="shared" ref="O3:O52" si="1">B3/N3</f>
        <v>4.8231511254019296E-3</v>
      </c>
      <c r="P3" s="3">
        <f t="shared" ref="P3:P52" si="2">C3/$N3</f>
        <v>1.6077170418006431E-3</v>
      </c>
      <c r="Q3" s="3">
        <f t="shared" ref="Q3:Q52" si="3">D3/$N3</f>
        <v>1.8935334047874241E-2</v>
      </c>
      <c r="R3" s="4">
        <f t="shared" ref="R3:R52" si="4">K3/$N3</f>
        <v>0.81153983565559129</v>
      </c>
      <c r="S3" s="4">
        <f t="shared" ref="S3:S52" si="5">(B3+C3+D3+E3+F3+G3+H3+I3+J3)/$N3</f>
        <v>0.12611647016791711</v>
      </c>
      <c r="T3" s="4"/>
      <c r="U3" s="4"/>
    </row>
    <row r="4" spans="1:21" x14ac:dyDescent="0.25">
      <c r="A4" t="s">
        <v>15</v>
      </c>
      <c r="B4" s="1">
        <v>89800</v>
      </c>
      <c r="C4" s="1">
        <v>25600</v>
      </c>
      <c r="D4" s="1">
        <v>175700</v>
      </c>
      <c r="E4" s="1">
        <v>68600</v>
      </c>
      <c r="F4" s="1">
        <v>437100</v>
      </c>
      <c r="G4" s="1">
        <v>600</v>
      </c>
      <c r="H4" s="1">
        <v>700</v>
      </c>
      <c r="I4" s="1">
        <v>0</v>
      </c>
      <c r="J4" s="1">
        <v>0</v>
      </c>
      <c r="K4" s="1">
        <v>5469000</v>
      </c>
      <c r="L4" s="1">
        <v>197700</v>
      </c>
      <c r="M4" s="1">
        <v>64200</v>
      </c>
      <c r="N4" s="1">
        <f t="shared" si="0"/>
        <v>6529000</v>
      </c>
      <c r="O4" s="3">
        <f t="shared" si="1"/>
        <v>1.3754020523816817E-2</v>
      </c>
      <c r="P4" s="3">
        <f t="shared" si="2"/>
        <v>3.9209679889722774E-3</v>
      </c>
      <c r="Q4" s="3">
        <f t="shared" si="3"/>
        <v>2.6910706080563639E-2</v>
      </c>
      <c r="R4" s="4">
        <f t="shared" si="4"/>
        <v>0.83764741920661667</v>
      </c>
      <c r="S4" s="4">
        <f t="shared" si="5"/>
        <v>0.12223924031245213</v>
      </c>
      <c r="T4" s="4"/>
      <c r="U4" s="4"/>
    </row>
    <row r="5" spans="1:21" x14ac:dyDescent="0.25">
      <c r="A5" t="s">
        <v>16</v>
      </c>
      <c r="B5" s="1">
        <v>7100</v>
      </c>
      <c r="C5" s="1">
        <v>3200</v>
      </c>
      <c r="D5" s="1">
        <v>37000</v>
      </c>
      <c r="E5" s="1">
        <v>37000</v>
      </c>
      <c r="F5" s="1">
        <v>276700</v>
      </c>
      <c r="G5" s="1">
        <v>200</v>
      </c>
      <c r="H5" s="1">
        <v>0</v>
      </c>
      <c r="I5" s="1">
        <v>0</v>
      </c>
      <c r="J5" s="1">
        <v>0</v>
      </c>
      <c r="K5" s="1">
        <v>2246100</v>
      </c>
      <c r="L5" s="1">
        <v>90700</v>
      </c>
      <c r="M5" s="1">
        <v>10300</v>
      </c>
      <c r="N5" s="1">
        <f t="shared" si="0"/>
        <v>2708300</v>
      </c>
      <c r="O5" s="3">
        <f t="shared" si="1"/>
        <v>2.6215707270243328E-3</v>
      </c>
      <c r="P5" s="3">
        <f t="shared" si="2"/>
        <v>1.1815530037292768E-3</v>
      </c>
      <c r="Q5" s="3">
        <f t="shared" si="3"/>
        <v>1.3661706605619762E-2</v>
      </c>
      <c r="R5" s="4">
        <f t="shared" si="4"/>
        <v>0.82933943802385257</v>
      </c>
      <c r="S5" s="4">
        <f t="shared" si="5"/>
        <v>0.13336779529594212</v>
      </c>
      <c r="T5" s="4"/>
      <c r="U5" s="4"/>
    </row>
    <row r="6" spans="1:21" x14ac:dyDescent="0.25">
      <c r="A6" t="s">
        <v>17</v>
      </c>
      <c r="B6" s="1">
        <v>1256600</v>
      </c>
      <c r="C6" s="1">
        <v>410700</v>
      </c>
      <c r="D6" s="1">
        <v>1703200</v>
      </c>
      <c r="E6" s="1">
        <v>201600</v>
      </c>
      <c r="F6" s="1">
        <v>1314600</v>
      </c>
      <c r="G6" s="1">
        <v>10100</v>
      </c>
      <c r="H6" s="1">
        <v>1500</v>
      </c>
      <c r="I6" s="1">
        <v>16900</v>
      </c>
      <c r="J6" s="1">
        <v>0</v>
      </c>
      <c r="K6" s="1">
        <v>31191900</v>
      </c>
      <c r="L6" s="1">
        <v>735300</v>
      </c>
      <c r="M6" s="1">
        <v>7900</v>
      </c>
      <c r="N6" s="1">
        <f t="shared" si="0"/>
        <v>36850300</v>
      </c>
      <c r="O6" s="3">
        <f t="shared" si="1"/>
        <v>3.410012944263683E-2</v>
      </c>
      <c r="P6" s="3">
        <f t="shared" si="2"/>
        <v>1.1145092441581208E-2</v>
      </c>
      <c r="Q6" s="3">
        <f t="shared" si="3"/>
        <v>4.6219433763090123E-2</v>
      </c>
      <c r="R6" s="4">
        <f t="shared" si="4"/>
        <v>0.84644901126992178</v>
      </c>
      <c r="S6" s="4">
        <f t="shared" si="5"/>
        <v>0.13338290325994631</v>
      </c>
      <c r="T6" s="4"/>
      <c r="U6" s="4"/>
    </row>
    <row r="7" spans="1:21" x14ac:dyDescent="0.25">
      <c r="A7" t="s">
        <v>18</v>
      </c>
      <c r="B7" s="1">
        <v>90100</v>
      </c>
      <c r="C7" s="1">
        <v>37500</v>
      </c>
      <c r="D7" s="1">
        <v>152700</v>
      </c>
      <c r="E7" s="1">
        <v>68100</v>
      </c>
      <c r="F7" s="1">
        <v>334300</v>
      </c>
      <c r="G7" s="1">
        <v>300</v>
      </c>
      <c r="H7" s="1">
        <v>100</v>
      </c>
      <c r="I7" s="1">
        <v>0</v>
      </c>
      <c r="J7" s="1">
        <v>0</v>
      </c>
      <c r="K7" s="1">
        <v>4508800</v>
      </c>
      <c r="L7" s="1">
        <v>203400</v>
      </c>
      <c r="M7" s="1">
        <v>46500</v>
      </c>
      <c r="N7" s="1">
        <f t="shared" si="0"/>
        <v>5441800</v>
      </c>
      <c r="O7" s="3">
        <f t="shared" si="1"/>
        <v>1.6557021573743981E-2</v>
      </c>
      <c r="P7" s="3">
        <f t="shared" si="2"/>
        <v>6.8911022088279615E-3</v>
      </c>
      <c r="Q7" s="3">
        <f t="shared" si="3"/>
        <v>2.8060568194347459E-2</v>
      </c>
      <c r="R7" s="4">
        <f t="shared" si="4"/>
        <v>0.82854937704436027</v>
      </c>
      <c r="S7" s="4">
        <f t="shared" si="5"/>
        <v>0.12552831783601015</v>
      </c>
      <c r="T7" s="4"/>
      <c r="U7" s="4"/>
    </row>
    <row r="8" spans="1:21" x14ac:dyDescent="0.25">
      <c r="A8" t="s">
        <v>19</v>
      </c>
      <c r="B8" s="1">
        <v>31600</v>
      </c>
      <c r="C8" s="1">
        <v>18400</v>
      </c>
      <c r="D8" s="1">
        <v>75300</v>
      </c>
      <c r="E8" s="1">
        <v>10900</v>
      </c>
      <c r="F8" s="1">
        <v>133600</v>
      </c>
      <c r="G8" s="1">
        <v>100</v>
      </c>
      <c r="H8" s="1">
        <v>0</v>
      </c>
      <c r="I8" s="1">
        <v>0</v>
      </c>
      <c r="J8" s="1">
        <v>0</v>
      </c>
      <c r="K8" s="1">
        <v>2612600</v>
      </c>
      <c r="L8" s="1">
        <v>42300</v>
      </c>
      <c r="M8" s="1">
        <v>20900</v>
      </c>
      <c r="N8" s="1">
        <f t="shared" si="0"/>
        <v>2945700</v>
      </c>
      <c r="O8" s="3">
        <f t="shared" si="1"/>
        <v>1.072750110330312E-2</v>
      </c>
      <c r="P8" s="3">
        <f t="shared" si="2"/>
        <v>6.246393047492956E-3</v>
      </c>
      <c r="Q8" s="3">
        <f t="shared" si="3"/>
        <v>2.5562684591098891E-2</v>
      </c>
      <c r="R8" s="4">
        <f t="shared" si="4"/>
        <v>0.8869199171673966</v>
      </c>
      <c r="S8" s="4">
        <f t="shared" si="5"/>
        <v>9.162508062599721E-2</v>
      </c>
      <c r="T8" s="4"/>
      <c r="U8" s="4"/>
    </row>
    <row r="9" spans="1:21" x14ac:dyDescent="0.25">
      <c r="A9" t="s">
        <v>20</v>
      </c>
      <c r="B9" s="1">
        <v>8400</v>
      </c>
      <c r="C9" s="1">
        <v>3800</v>
      </c>
      <c r="D9" s="1">
        <v>22900</v>
      </c>
      <c r="E9" s="1">
        <v>5100</v>
      </c>
      <c r="F9" s="1">
        <v>63900</v>
      </c>
      <c r="G9" s="1">
        <v>0</v>
      </c>
      <c r="H9" s="1">
        <v>0</v>
      </c>
      <c r="I9" s="1">
        <v>0</v>
      </c>
      <c r="J9" s="1">
        <v>0</v>
      </c>
      <c r="K9" s="1">
        <v>791300</v>
      </c>
      <c r="L9" s="1">
        <v>14200</v>
      </c>
      <c r="M9" s="1">
        <v>5100</v>
      </c>
      <c r="N9" s="1">
        <f t="shared" si="0"/>
        <v>914700</v>
      </c>
      <c r="O9" s="3">
        <f t="shared" si="1"/>
        <v>9.1833387996064289E-3</v>
      </c>
      <c r="P9" s="3">
        <f t="shared" si="2"/>
        <v>4.1543675522029084E-3</v>
      </c>
      <c r="Q9" s="3">
        <f t="shared" si="3"/>
        <v>2.5035530775117526E-2</v>
      </c>
      <c r="R9" s="4">
        <f t="shared" si="4"/>
        <v>0.86509238001530553</v>
      </c>
      <c r="S9" s="4">
        <f t="shared" si="5"/>
        <v>0.11380780583797967</v>
      </c>
      <c r="T9" s="4"/>
      <c r="U9" s="4"/>
    </row>
    <row r="10" spans="1:21" x14ac:dyDescent="0.25">
      <c r="A10" t="s">
        <v>21</v>
      </c>
      <c r="B10" s="1">
        <v>8100</v>
      </c>
      <c r="C10" s="1">
        <v>3700</v>
      </c>
      <c r="D10" s="1">
        <v>18100</v>
      </c>
      <c r="E10" s="1">
        <v>400</v>
      </c>
      <c r="F10" s="1">
        <v>16800</v>
      </c>
      <c r="G10" s="1">
        <v>100</v>
      </c>
      <c r="H10" s="1">
        <v>0</v>
      </c>
      <c r="I10" s="1">
        <v>0</v>
      </c>
      <c r="J10" s="1">
        <v>0</v>
      </c>
      <c r="K10" s="1">
        <v>262500</v>
      </c>
      <c r="L10" s="1">
        <v>1800</v>
      </c>
      <c r="M10" s="1">
        <v>600</v>
      </c>
      <c r="N10" s="1">
        <f t="shared" si="0"/>
        <v>312100</v>
      </c>
      <c r="O10" s="3">
        <f t="shared" si="1"/>
        <v>2.5953220121755848E-2</v>
      </c>
      <c r="P10" s="3">
        <f t="shared" si="2"/>
        <v>1.1855174623518103E-2</v>
      </c>
      <c r="Q10" s="3">
        <f t="shared" si="3"/>
        <v>5.7994232617750718E-2</v>
      </c>
      <c r="R10" s="4">
        <f t="shared" si="4"/>
        <v>0.84107657801986546</v>
      </c>
      <c r="S10" s="4">
        <f t="shared" si="5"/>
        <v>0.1512335789810958</v>
      </c>
      <c r="T10" s="4"/>
      <c r="U10" s="4"/>
    </row>
    <row r="11" spans="1:21" x14ac:dyDescent="0.25">
      <c r="A11" t="s">
        <v>22</v>
      </c>
      <c r="B11" s="1">
        <v>254900</v>
      </c>
      <c r="C11" s="1">
        <v>57300</v>
      </c>
      <c r="D11" s="1">
        <v>414500</v>
      </c>
      <c r="E11" s="1">
        <v>170500</v>
      </c>
      <c r="F11" s="1">
        <v>1101100</v>
      </c>
      <c r="G11" s="1">
        <v>400</v>
      </c>
      <c r="H11" s="1">
        <v>100</v>
      </c>
      <c r="I11" s="1">
        <v>0</v>
      </c>
      <c r="J11" s="1">
        <v>0</v>
      </c>
      <c r="K11" s="1">
        <v>16136500</v>
      </c>
      <c r="L11" s="1">
        <v>351800</v>
      </c>
      <c r="M11" s="1">
        <v>96100</v>
      </c>
      <c r="N11" s="1">
        <f t="shared" si="0"/>
        <v>18583200</v>
      </c>
      <c r="O11" s="3">
        <f t="shared" si="1"/>
        <v>1.3716690343966593E-2</v>
      </c>
      <c r="P11" s="3">
        <f t="shared" si="2"/>
        <v>3.0834301950148522E-3</v>
      </c>
      <c r="Q11" s="3">
        <f t="shared" si="3"/>
        <v>2.2305092771966076E-2</v>
      </c>
      <c r="R11" s="4">
        <f t="shared" si="4"/>
        <v>0.86833806879331865</v>
      </c>
      <c r="S11" s="4">
        <f t="shared" si="5"/>
        <v>0.10755951612208876</v>
      </c>
      <c r="T11" s="4"/>
      <c r="U11" s="4"/>
    </row>
    <row r="12" spans="1:21" x14ac:dyDescent="0.25">
      <c r="A12" t="s">
        <v>23</v>
      </c>
      <c r="B12" s="1">
        <v>92400</v>
      </c>
      <c r="C12" s="1">
        <v>22700</v>
      </c>
      <c r="D12" s="1">
        <v>175300</v>
      </c>
      <c r="E12" s="1">
        <v>92500</v>
      </c>
      <c r="F12" s="1">
        <v>719400</v>
      </c>
      <c r="G12" s="1">
        <v>300</v>
      </c>
      <c r="H12" s="1">
        <v>200</v>
      </c>
      <c r="I12" s="1">
        <v>0</v>
      </c>
      <c r="J12" s="1">
        <v>0</v>
      </c>
      <c r="K12" s="1">
        <v>8256400</v>
      </c>
      <c r="L12" s="1">
        <v>206300</v>
      </c>
      <c r="M12" s="1">
        <v>76900</v>
      </c>
      <c r="N12" s="1">
        <f t="shared" si="0"/>
        <v>9642400</v>
      </c>
      <c r="O12" s="3">
        <f t="shared" si="1"/>
        <v>9.5826765120716837E-3</v>
      </c>
      <c r="P12" s="3">
        <f t="shared" si="2"/>
        <v>2.3541856799137143E-3</v>
      </c>
      <c r="Q12" s="3">
        <f t="shared" si="3"/>
        <v>1.8180121131668465E-2</v>
      </c>
      <c r="R12" s="4">
        <f t="shared" si="4"/>
        <v>0.85625985231892476</v>
      </c>
      <c r="S12" s="4">
        <f t="shared" si="5"/>
        <v>0.11436986642329711</v>
      </c>
      <c r="T12" s="4"/>
      <c r="U12" s="4"/>
    </row>
    <row r="13" spans="1:21" x14ac:dyDescent="0.25">
      <c r="A13" t="s">
        <v>24</v>
      </c>
      <c r="B13" s="1">
        <v>25600</v>
      </c>
      <c r="C13" s="1">
        <v>7300</v>
      </c>
      <c r="D13" s="1">
        <v>36400</v>
      </c>
      <c r="E13" s="1">
        <v>3400</v>
      </c>
      <c r="F13" s="1">
        <v>37300</v>
      </c>
      <c r="G13" s="1">
        <v>0</v>
      </c>
      <c r="H13" s="1">
        <v>0</v>
      </c>
      <c r="I13" s="1">
        <v>0</v>
      </c>
      <c r="J13" s="1">
        <v>0</v>
      </c>
      <c r="K13" s="1">
        <v>951000</v>
      </c>
      <c r="L13" s="1">
        <v>15400</v>
      </c>
      <c r="M13" s="1">
        <v>3700</v>
      </c>
      <c r="N13" s="1">
        <f t="shared" si="0"/>
        <v>1080100</v>
      </c>
      <c r="O13" s="3">
        <f t="shared" si="1"/>
        <v>2.3701509119525972E-2</v>
      </c>
      <c r="P13" s="3">
        <f t="shared" si="2"/>
        <v>6.7586334598648276E-3</v>
      </c>
      <c r="Q13" s="3">
        <f t="shared" si="3"/>
        <v>3.3700583279325985E-2</v>
      </c>
      <c r="R13" s="4">
        <f t="shared" si="4"/>
        <v>0.88047403018239057</v>
      </c>
      <c r="S13" s="4">
        <f t="shared" si="5"/>
        <v>0.10184242199796315</v>
      </c>
      <c r="T13" s="2"/>
    </row>
    <row r="14" spans="1:21" x14ac:dyDescent="0.25">
      <c r="A14" t="s">
        <v>25</v>
      </c>
      <c r="B14" s="1">
        <v>8500</v>
      </c>
      <c r="C14" s="1">
        <v>4600</v>
      </c>
      <c r="D14" s="1">
        <v>43700</v>
      </c>
      <c r="E14" s="1">
        <v>45900</v>
      </c>
      <c r="F14" s="1">
        <v>132900</v>
      </c>
      <c r="G14" s="1">
        <v>100</v>
      </c>
      <c r="H14" s="1">
        <v>100</v>
      </c>
      <c r="I14" s="1">
        <v>0</v>
      </c>
      <c r="J14" s="1">
        <v>0</v>
      </c>
      <c r="K14" s="1">
        <v>1568600</v>
      </c>
      <c r="L14" s="1">
        <v>138600</v>
      </c>
      <c r="M14" s="1">
        <v>31600</v>
      </c>
      <c r="N14" s="1">
        <f t="shared" si="0"/>
        <v>1974600</v>
      </c>
      <c r="O14" s="3">
        <f t="shared" si="1"/>
        <v>4.3046693001114146E-3</v>
      </c>
      <c r="P14" s="3">
        <f t="shared" si="2"/>
        <v>2.3295857388838247E-3</v>
      </c>
      <c r="Q14" s="3">
        <f t="shared" si="3"/>
        <v>2.2131064519396334E-2</v>
      </c>
      <c r="R14" s="4">
        <f t="shared" si="4"/>
        <v>0.79438873695938417</v>
      </c>
      <c r="S14" s="4">
        <f t="shared" si="5"/>
        <v>0.11941659070191431</v>
      </c>
      <c r="T14" s="5"/>
      <c r="U14" s="4"/>
    </row>
    <row r="15" spans="1:21" x14ac:dyDescent="0.25">
      <c r="A15" t="s">
        <v>26</v>
      </c>
      <c r="B15" s="1">
        <v>99600</v>
      </c>
      <c r="C15" s="1">
        <v>33400</v>
      </c>
      <c r="D15" s="1">
        <v>285400</v>
      </c>
      <c r="E15" s="1">
        <v>61500</v>
      </c>
      <c r="F15" s="1">
        <v>772900</v>
      </c>
      <c r="G15" s="1">
        <v>300</v>
      </c>
      <c r="H15" s="1">
        <v>0</v>
      </c>
      <c r="I15" s="1">
        <v>0</v>
      </c>
      <c r="J15" s="1">
        <v>0</v>
      </c>
      <c r="K15" s="1">
        <v>8560300</v>
      </c>
      <c r="L15" s="1">
        <v>170200</v>
      </c>
      <c r="M15" s="1">
        <v>59600</v>
      </c>
      <c r="N15" s="1">
        <f t="shared" si="0"/>
        <v>10043200</v>
      </c>
      <c r="O15" s="3">
        <f t="shared" si="1"/>
        <v>9.917157877967181E-3</v>
      </c>
      <c r="P15" s="3">
        <f t="shared" si="2"/>
        <v>3.3256332642982315E-3</v>
      </c>
      <c r="Q15" s="3">
        <f t="shared" si="3"/>
        <v>2.8417237533853751E-2</v>
      </c>
      <c r="R15" s="4">
        <f t="shared" si="4"/>
        <v>0.8523478572566513</v>
      </c>
      <c r="S15" s="4">
        <f t="shared" si="5"/>
        <v>0.12477098932611121</v>
      </c>
      <c r="T15" s="4"/>
      <c r="U15" s="4"/>
    </row>
    <row r="16" spans="1:21" x14ac:dyDescent="0.25">
      <c r="A16" t="s">
        <v>27</v>
      </c>
      <c r="B16" s="1">
        <v>26100</v>
      </c>
      <c r="C16" s="1">
        <v>12900</v>
      </c>
      <c r="D16" s="1">
        <v>119100</v>
      </c>
      <c r="E16" s="1">
        <v>56300</v>
      </c>
      <c r="F16" s="1">
        <v>576300</v>
      </c>
      <c r="G16" s="1">
        <v>300</v>
      </c>
      <c r="H16" s="1">
        <v>0</v>
      </c>
      <c r="I16" s="1">
        <v>0</v>
      </c>
      <c r="J16" s="1">
        <v>0</v>
      </c>
      <c r="K16" s="1">
        <v>5166200</v>
      </c>
      <c r="L16" s="1">
        <v>156400</v>
      </c>
      <c r="M16" s="1">
        <v>58500</v>
      </c>
      <c r="N16" s="1">
        <f t="shared" si="0"/>
        <v>6172100</v>
      </c>
      <c r="O16" s="3">
        <f t="shared" si="1"/>
        <v>4.2287065990505666E-3</v>
      </c>
      <c r="P16" s="3">
        <f t="shared" si="2"/>
        <v>2.0900503880364866E-3</v>
      </c>
      <c r="Q16" s="3">
        <f t="shared" si="3"/>
        <v>1.9296511722104309E-2</v>
      </c>
      <c r="R16" s="4">
        <f t="shared" si="4"/>
        <v>0.83702467555613158</v>
      </c>
      <c r="S16" s="4">
        <f t="shared" si="5"/>
        <v>0.12815735325091945</v>
      </c>
      <c r="T16" s="4"/>
      <c r="U16" s="4"/>
    </row>
    <row r="17" spans="1:21" x14ac:dyDescent="0.25">
      <c r="A17" t="s">
        <v>28</v>
      </c>
      <c r="B17" s="1">
        <v>9000</v>
      </c>
      <c r="C17" s="1">
        <v>6100</v>
      </c>
      <c r="D17" s="1">
        <v>57200</v>
      </c>
      <c r="E17" s="1">
        <v>41700</v>
      </c>
      <c r="F17" s="1">
        <v>331300</v>
      </c>
      <c r="G17" s="1">
        <v>100</v>
      </c>
      <c r="H17" s="1">
        <v>0</v>
      </c>
      <c r="I17" s="1">
        <v>0</v>
      </c>
      <c r="J17" s="1">
        <v>0</v>
      </c>
      <c r="K17" s="1">
        <v>2545400</v>
      </c>
      <c r="L17" s="1">
        <v>105000</v>
      </c>
      <c r="M17" s="1">
        <v>57500</v>
      </c>
      <c r="N17" s="1">
        <f t="shared" si="0"/>
        <v>3153300</v>
      </c>
      <c r="O17" s="3">
        <f t="shared" si="1"/>
        <v>2.8541527923128152E-3</v>
      </c>
      <c r="P17" s="3">
        <f t="shared" si="2"/>
        <v>1.9344813370120193E-3</v>
      </c>
      <c r="Q17" s="3">
        <f t="shared" si="3"/>
        <v>1.8139726635588115E-2</v>
      </c>
      <c r="R17" s="4">
        <f t="shared" si="4"/>
        <v>0.80721783528367108</v>
      </c>
      <c r="S17" s="4">
        <f t="shared" si="5"/>
        <v>0.14124885041068089</v>
      </c>
      <c r="T17" s="4"/>
      <c r="U17" s="4"/>
    </row>
    <row r="18" spans="1:21" x14ac:dyDescent="0.25">
      <c r="A18" t="s">
        <v>29</v>
      </c>
      <c r="B18" s="1">
        <v>11300</v>
      </c>
      <c r="C18" s="1">
        <v>5600</v>
      </c>
      <c r="D18" s="1">
        <v>50400</v>
      </c>
      <c r="E18" s="1">
        <v>27900</v>
      </c>
      <c r="F18" s="1">
        <v>253500</v>
      </c>
      <c r="G18" s="1">
        <v>200</v>
      </c>
      <c r="H18" s="1">
        <v>100</v>
      </c>
      <c r="I18" s="1">
        <v>0</v>
      </c>
      <c r="J18" s="1">
        <v>0</v>
      </c>
      <c r="K18" s="1">
        <v>2168600</v>
      </c>
      <c r="L18" s="1">
        <v>87400</v>
      </c>
      <c r="M18" s="1">
        <v>16100</v>
      </c>
      <c r="N18" s="1">
        <f t="shared" si="0"/>
        <v>2621100</v>
      </c>
      <c r="O18" s="3">
        <f t="shared" si="1"/>
        <v>4.311167067261837E-3</v>
      </c>
      <c r="P18" s="3">
        <f t="shared" si="2"/>
        <v>2.1365075731563086E-3</v>
      </c>
      <c r="Q18" s="3">
        <f t="shared" si="3"/>
        <v>1.9228568158406775E-2</v>
      </c>
      <c r="R18" s="4">
        <f t="shared" si="4"/>
        <v>0.8273625577047804</v>
      </c>
      <c r="S18" s="4">
        <f t="shared" si="5"/>
        <v>0.13315020411277709</v>
      </c>
      <c r="T18" s="4"/>
      <c r="U18" s="4"/>
    </row>
    <row r="19" spans="1:21" x14ac:dyDescent="0.25">
      <c r="A19" t="s">
        <v>30</v>
      </c>
      <c r="B19" s="1">
        <v>11600</v>
      </c>
      <c r="C19" s="1">
        <v>5600</v>
      </c>
      <c r="D19" s="1">
        <v>67100</v>
      </c>
      <c r="E19" s="1">
        <v>36900</v>
      </c>
      <c r="F19" s="1">
        <v>361200</v>
      </c>
      <c r="G19" s="1">
        <v>300</v>
      </c>
      <c r="H19" s="1">
        <v>0</v>
      </c>
      <c r="I19" s="1">
        <v>0</v>
      </c>
      <c r="J19" s="1">
        <v>0</v>
      </c>
      <c r="K19" s="1">
        <v>3415000</v>
      </c>
      <c r="L19" s="1">
        <v>117600</v>
      </c>
      <c r="M19" s="1">
        <v>24400</v>
      </c>
      <c r="N19" s="1">
        <f t="shared" si="0"/>
        <v>4039700</v>
      </c>
      <c r="O19" s="3">
        <f t="shared" si="1"/>
        <v>2.871500358937545E-3</v>
      </c>
      <c r="P19" s="3">
        <f t="shared" si="2"/>
        <v>1.3862415525905389E-3</v>
      </c>
      <c r="Q19" s="3">
        <f t="shared" si="3"/>
        <v>1.661014431764735E-2</v>
      </c>
      <c r="R19" s="4">
        <f t="shared" si="4"/>
        <v>0.84535980394583754</v>
      </c>
      <c r="S19" s="4">
        <f t="shared" si="5"/>
        <v>0.11948907097061663</v>
      </c>
      <c r="T19" s="4"/>
      <c r="U19" s="4"/>
    </row>
    <row r="20" spans="1:21" x14ac:dyDescent="0.25">
      <c r="A20" t="s">
        <v>31</v>
      </c>
      <c r="B20" s="1">
        <v>8200</v>
      </c>
      <c r="C20" s="1">
        <v>4000</v>
      </c>
      <c r="D20" s="1">
        <v>40200</v>
      </c>
      <c r="E20" s="1">
        <v>64200</v>
      </c>
      <c r="F20" s="1">
        <v>380100</v>
      </c>
      <c r="G20" s="1">
        <v>100</v>
      </c>
      <c r="H20" s="1">
        <v>0</v>
      </c>
      <c r="I20" s="1">
        <v>0</v>
      </c>
      <c r="J20" s="1">
        <v>0</v>
      </c>
      <c r="K20" s="1">
        <v>3142800</v>
      </c>
      <c r="L20" s="1">
        <v>115500</v>
      </c>
      <c r="M20" s="1">
        <v>19100</v>
      </c>
      <c r="N20" s="1">
        <f t="shared" si="0"/>
        <v>3774200</v>
      </c>
      <c r="O20" s="3">
        <f t="shared" si="1"/>
        <v>2.1726458587250277E-3</v>
      </c>
      <c r="P20" s="3">
        <f t="shared" si="2"/>
        <v>1.0598272481585501E-3</v>
      </c>
      <c r="Q20" s="3">
        <f t="shared" si="3"/>
        <v>1.0651263843993428E-2</v>
      </c>
      <c r="R20" s="4">
        <f t="shared" si="4"/>
        <v>0.83270626887817289</v>
      </c>
      <c r="S20" s="4">
        <f t="shared" si="5"/>
        <v>0.13163054422129192</v>
      </c>
      <c r="T20" s="4"/>
      <c r="U20" s="4"/>
    </row>
    <row r="21" spans="1:21" x14ac:dyDescent="0.25">
      <c r="A21" t="s">
        <v>32</v>
      </c>
      <c r="B21" s="1">
        <v>7400</v>
      </c>
      <c r="C21" s="1">
        <v>7600</v>
      </c>
      <c r="D21" s="1">
        <v>33600</v>
      </c>
      <c r="E21" s="1">
        <v>12000</v>
      </c>
      <c r="F21" s="1">
        <v>104500</v>
      </c>
      <c r="G21" s="1">
        <v>0</v>
      </c>
      <c r="H21" s="1">
        <v>0</v>
      </c>
      <c r="I21" s="1">
        <v>0</v>
      </c>
      <c r="J21" s="1">
        <v>0</v>
      </c>
      <c r="K21" s="1">
        <v>1036100</v>
      </c>
      <c r="L21" s="1">
        <v>26900</v>
      </c>
      <c r="M21" s="1">
        <v>7900</v>
      </c>
      <c r="N21" s="1">
        <f t="shared" si="0"/>
        <v>1236000</v>
      </c>
      <c r="O21" s="3">
        <f t="shared" si="1"/>
        <v>5.9870550161812298E-3</v>
      </c>
      <c r="P21" s="3">
        <f t="shared" si="2"/>
        <v>6.1488673139158574E-3</v>
      </c>
      <c r="Q21" s="3">
        <f t="shared" si="3"/>
        <v>2.7184466019417475E-2</v>
      </c>
      <c r="R21" s="4">
        <f t="shared" si="4"/>
        <v>0.83826860841423945</v>
      </c>
      <c r="S21" s="4">
        <f t="shared" si="5"/>
        <v>0.13357605177993528</v>
      </c>
      <c r="T21" s="4"/>
      <c r="U21" s="4"/>
    </row>
    <row r="22" spans="1:21" x14ac:dyDescent="0.25">
      <c r="A22" t="s">
        <v>33</v>
      </c>
      <c r="B22" s="1">
        <v>72100</v>
      </c>
      <c r="C22" s="1">
        <v>31300</v>
      </c>
      <c r="D22" s="1">
        <v>168700</v>
      </c>
      <c r="E22" s="1">
        <v>32100</v>
      </c>
      <c r="F22" s="1">
        <v>309300</v>
      </c>
      <c r="G22" s="1">
        <v>300</v>
      </c>
      <c r="H22" s="1">
        <v>0</v>
      </c>
      <c r="I22" s="1">
        <v>0</v>
      </c>
      <c r="J22" s="1">
        <v>0</v>
      </c>
      <c r="K22" s="1">
        <v>4327800</v>
      </c>
      <c r="L22" s="1">
        <v>86900</v>
      </c>
      <c r="M22" s="1">
        <v>31500</v>
      </c>
      <c r="N22" s="1">
        <f t="shared" si="0"/>
        <v>5060000</v>
      </c>
      <c r="O22" s="3">
        <f t="shared" si="1"/>
        <v>1.424901185770751E-2</v>
      </c>
      <c r="P22" s="3">
        <f t="shared" si="2"/>
        <v>6.1857707509881425E-3</v>
      </c>
      <c r="Q22" s="3">
        <f t="shared" si="3"/>
        <v>3.3339920948616604E-2</v>
      </c>
      <c r="R22" s="4">
        <f t="shared" si="4"/>
        <v>0.85529644268774707</v>
      </c>
      <c r="S22" s="4">
        <f t="shared" si="5"/>
        <v>0.12130434782608696</v>
      </c>
      <c r="T22" s="4"/>
      <c r="U22" s="4"/>
    </row>
    <row r="23" spans="1:21" x14ac:dyDescent="0.25">
      <c r="A23" t="s">
        <v>34</v>
      </c>
      <c r="B23" s="1">
        <v>73800</v>
      </c>
      <c r="C23" s="1">
        <v>43800</v>
      </c>
      <c r="D23" s="1">
        <v>187300</v>
      </c>
      <c r="E23" s="1">
        <v>21300</v>
      </c>
      <c r="F23" s="1">
        <v>285000</v>
      </c>
      <c r="G23" s="1">
        <v>200</v>
      </c>
      <c r="H23" s="1">
        <v>0</v>
      </c>
      <c r="I23" s="1">
        <v>0</v>
      </c>
      <c r="J23" s="1">
        <v>0</v>
      </c>
      <c r="K23" s="1">
        <v>4791300</v>
      </c>
      <c r="L23" s="1">
        <v>58400</v>
      </c>
      <c r="M23" s="1">
        <v>30000</v>
      </c>
      <c r="N23" s="1">
        <f t="shared" si="0"/>
        <v>5491100</v>
      </c>
      <c r="O23" s="3">
        <f t="shared" si="1"/>
        <v>1.3439930068656554E-2</v>
      </c>
      <c r="P23" s="3">
        <f t="shared" si="2"/>
        <v>7.9765438618855967E-3</v>
      </c>
      <c r="Q23" s="3">
        <f t="shared" si="3"/>
        <v>3.4109741217606675E-2</v>
      </c>
      <c r="R23" s="4">
        <f t="shared" si="4"/>
        <v>0.87255741108338947</v>
      </c>
      <c r="S23" s="4">
        <f t="shared" si="5"/>
        <v>0.11134381089399209</v>
      </c>
      <c r="T23" s="4"/>
      <c r="U23" s="4"/>
    </row>
    <row r="24" spans="1:21" x14ac:dyDescent="0.25">
      <c r="A24" t="s">
        <v>35</v>
      </c>
      <c r="B24" s="1">
        <v>50300</v>
      </c>
      <c r="C24" s="1">
        <v>29100</v>
      </c>
      <c r="D24" s="1">
        <v>148100</v>
      </c>
      <c r="E24" s="1">
        <v>70400</v>
      </c>
      <c r="F24" s="1">
        <v>873700</v>
      </c>
      <c r="G24" s="1">
        <v>300</v>
      </c>
      <c r="H24" s="1">
        <v>0</v>
      </c>
      <c r="I24" s="1">
        <v>0</v>
      </c>
      <c r="J24" s="1">
        <v>0</v>
      </c>
      <c r="K24" s="1">
        <v>7129600</v>
      </c>
      <c r="L24" s="1">
        <v>174500</v>
      </c>
      <c r="M24" s="1">
        <v>49400</v>
      </c>
      <c r="N24" s="1">
        <f t="shared" si="0"/>
        <v>8525400</v>
      </c>
      <c r="O24" s="3">
        <f t="shared" si="1"/>
        <v>5.9000164215168788E-3</v>
      </c>
      <c r="P24" s="3">
        <f t="shared" si="2"/>
        <v>3.4133295798437608E-3</v>
      </c>
      <c r="Q24" s="3">
        <f t="shared" si="3"/>
        <v>1.7371618926971168E-2</v>
      </c>
      <c r="R24" s="4">
        <f t="shared" si="4"/>
        <v>0.83627747671663499</v>
      </c>
      <c r="S24" s="4">
        <f t="shared" si="5"/>
        <v>0.13745982593192108</v>
      </c>
      <c r="T24" s="4"/>
      <c r="U24" s="4"/>
    </row>
    <row r="25" spans="1:21" x14ac:dyDescent="0.25">
      <c r="A25" t="s">
        <v>36</v>
      </c>
      <c r="B25" s="1">
        <v>37100</v>
      </c>
      <c r="C25" s="1">
        <v>16100</v>
      </c>
      <c r="D25" s="1">
        <v>124500</v>
      </c>
      <c r="E25" s="1">
        <v>52700</v>
      </c>
      <c r="F25" s="1">
        <v>516400</v>
      </c>
      <c r="G25" s="1">
        <v>100</v>
      </c>
      <c r="H25" s="1">
        <v>0</v>
      </c>
      <c r="I25" s="1">
        <v>0</v>
      </c>
      <c r="J25" s="1">
        <v>0</v>
      </c>
      <c r="K25" s="1">
        <v>4219200</v>
      </c>
      <c r="L25" s="1">
        <v>127900</v>
      </c>
      <c r="M25" s="1">
        <v>24500</v>
      </c>
      <c r="N25" s="1">
        <f t="shared" si="0"/>
        <v>5118500</v>
      </c>
      <c r="O25" s="3">
        <f t="shared" si="1"/>
        <v>7.2482172511477974E-3</v>
      </c>
      <c r="P25" s="3">
        <f t="shared" si="2"/>
        <v>3.1454527693660253E-3</v>
      </c>
      <c r="Q25" s="3">
        <f t="shared" si="3"/>
        <v>2.4323532284849077E-2</v>
      </c>
      <c r="R25" s="4">
        <f t="shared" si="4"/>
        <v>0.8243039953111263</v>
      </c>
      <c r="S25" s="4">
        <f t="shared" si="5"/>
        <v>0.14592165673537169</v>
      </c>
      <c r="T25" s="2"/>
    </row>
    <row r="26" spans="1:21" x14ac:dyDescent="0.25">
      <c r="A26" t="s">
        <v>37</v>
      </c>
      <c r="B26" s="1">
        <v>3600</v>
      </c>
      <c r="C26" s="1">
        <v>2000</v>
      </c>
      <c r="D26" s="1">
        <v>28200</v>
      </c>
      <c r="E26" s="1">
        <v>34900</v>
      </c>
      <c r="F26" s="1">
        <v>295200</v>
      </c>
      <c r="G26" s="1">
        <v>100</v>
      </c>
      <c r="H26" s="1">
        <v>0</v>
      </c>
      <c r="I26" s="1">
        <v>0</v>
      </c>
      <c r="J26" s="1">
        <v>0</v>
      </c>
      <c r="K26" s="1">
        <v>2275600</v>
      </c>
      <c r="L26" s="1">
        <v>75200</v>
      </c>
      <c r="M26" s="1">
        <v>8500</v>
      </c>
      <c r="N26" s="1">
        <f t="shared" si="0"/>
        <v>2723300</v>
      </c>
      <c r="O26" s="3">
        <f t="shared" si="1"/>
        <v>1.321925604964565E-3</v>
      </c>
      <c r="P26" s="3">
        <f t="shared" si="2"/>
        <v>7.3440311386920281E-4</v>
      </c>
      <c r="Q26" s="3">
        <f t="shared" si="3"/>
        <v>1.035508390555576E-2</v>
      </c>
      <c r="R26" s="4">
        <f t="shared" si="4"/>
        <v>0.83560386296037892</v>
      </c>
      <c r="S26" s="4">
        <f t="shared" si="5"/>
        <v>0.1336613667241949</v>
      </c>
      <c r="T26" s="5"/>
      <c r="U26" s="4"/>
    </row>
    <row r="27" spans="1:21" x14ac:dyDescent="0.25">
      <c r="A27" t="s">
        <v>38</v>
      </c>
      <c r="B27" s="1">
        <v>26900</v>
      </c>
      <c r="C27" s="1">
        <v>13900</v>
      </c>
      <c r="D27" s="1">
        <v>113900</v>
      </c>
      <c r="E27" s="1">
        <v>70400</v>
      </c>
      <c r="F27" s="1">
        <v>575500</v>
      </c>
      <c r="G27" s="1">
        <v>900</v>
      </c>
      <c r="H27" s="1">
        <v>100</v>
      </c>
      <c r="I27" s="1">
        <v>0</v>
      </c>
      <c r="J27" s="1">
        <v>0</v>
      </c>
      <c r="K27" s="1">
        <v>4608600</v>
      </c>
      <c r="L27" s="1">
        <v>178200</v>
      </c>
      <c r="M27" s="1">
        <v>37600</v>
      </c>
      <c r="N27" s="1">
        <f t="shared" si="0"/>
        <v>5626000</v>
      </c>
      <c r="O27" s="3">
        <f t="shared" si="1"/>
        <v>4.7813722004976895E-3</v>
      </c>
      <c r="P27" s="3">
        <f t="shared" si="2"/>
        <v>2.4706718805545679E-3</v>
      </c>
      <c r="Q27" s="3">
        <f t="shared" si="3"/>
        <v>2.0245289726270887E-2</v>
      </c>
      <c r="R27" s="4">
        <f t="shared" si="4"/>
        <v>0.81916103803768214</v>
      </c>
      <c r="S27" s="4">
        <f t="shared" si="5"/>
        <v>0.142481336651262</v>
      </c>
      <c r="T27" s="4"/>
      <c r="U27" s="4"/>
    </row>
    <row r="28" spans="1:21" x14ac:dyDescent="0.25">
      <c r="A28" t="s">
        <v>39</v>
      </c>
      <c r="B28" s="1">
        <v>4600</v>
      </c>
      <c r="C28" s="1">
        <v>2500</v>
      </c>
      <c r="D28" s="1">
        <v>21100</v>
      </c>
      <c r="E28" s="1">
        <v>37900</v>
      </c>
      <c r="F28" s="1">
        <v>94500</v>
      </c>
      <c r="G28" s="1">
        <v>0</v>
      </c>
      <c r="H28" s="1">
        <v>0</v>
      </c>
      <c r="I28" s="1">
        <v>0</v>
      </c>
      <c r="J28" s="1">
        <v>0</v>
      </c>
      <c r="K28" s="1">
        <v>780700</v>
      </c>
      <c r="L28" s="1">
        <v>69600</v>
      </c>
      <c r="M28" s="1">
        <v>10800</v>
      </c>
      <c r="N28" s="1">
        <f t="shared" si="0"/>
        <v>1021700</v>
      </c>
      <c r="O28" s="3">
        <f t="shared" si="1"/>
        <v>4.50230008808848E-3</v>
      </c>
      <c r="P28" s="3">
        <f t="shared" si="2"/>
        <v>2.4469022217872174E-3</v>
      </c>
      <c r="Q28" s="3">
        <f t="shared" si="3"/>
        <v>2.0651854751884115E-2</v>
      </c>
      <c r="R28" s="4">
        <f t="shared" si="4"/>
        <v>0.76411862581971224</v>
      </c>
      <c r="S28" s="4">
        <f t="shared" si="5"/>
        <v>0.15718899872761086</v>
      </c>
      <c r="T28" s="4"/>
      <c r="U28" s="4"/>
    </row>
    <row r="29" spans="1:21" x14ac:dyDescent="0.25">
      <c r="A29" t="s">
        <v>40</v>
      </c>
      <c r="B29" s="1">
        <v>6900</v>
      </c>
      <c r="C29" s="1">
        <v>3800</v>
      </c>
      <c r="D29" s="1">
        <v>32600</v>
      </c>
      <c r="E29" s="1">
        <v>28900</v>
      </c>
      <c r="F29" s="1">
        <v>197100</v>
      </c>
      <c r="G29" s="1">
        <v>100</v>
      </c>
      <c r="H29" s="1">
        <v>0</v>
      </c>
      <c r="I29" s="1">
        <v>0</v>
      </c>
      <c r="J29" s="1">
        <v>0</v>
      </c>
      <c r="K29" s="1">
        <v>1600400</v>
      </c>
      <c r="L29" s="1">
        <v>76100</v>
      </c>
      <c r="M29" s="1">
        <v>25300</v>
      </c>
      <c r="N29" s="1">
        <f t="shared" si="0"/>
        <v>1971200</v>
      </c>
      <c r="O29" s="3">
        <f t="shared" si="1"/>
        <v>3.500405844155844E-3</v>
      </c>
      <c r="P29" s="3">
        <f t="shared" si="2"/>
        <v>1.9277597402597403E-3</v>
      </c>
      <c r="Q29" s="3">
        <f t="shared" si="3"/>
        <v>1.6538149350649352E-2</v>
      </c>
      <c r="R29" s="4">
        <f t="shared" si="4"/>
        <v>0.81189123376623373</v>
      </c>
      <c r="S29" s="4">
        <f t="shared" si="5"/>
        <v>0.13666801948051949</v>
      </c>
      <c r="T29" s="4"/>
      <c r="U29" s="4"/>
    </row>
    <row r="30" spans="1:21" x14ac:dyDescent="0.25">
      <c r="A30" t="s">
        <v>41</v>
      </c>
      <c r="B30" s="1">
        <v>47400</v>
      </c>
      <c r="C30" s="1">
        <v>10600</v>
      </c>
      <c r="D30" s="1">
        <v>69600</v>
      </c>
      <c r="E30" s="1">
        <v>27200</v>
      </c>
      <c r="F30" s="1">
        <v>125600</v>
      </c>
      <c r="G30" s="1">
        <v>200</v>
      </c>
      <c r="H30" s="1">
        <v>100</v>
      </c>
      <c r="I30" s="1">
        <v>0</v>
      </c>
      <c r="J30" s="1">
        <v>0</v>
      </c>
      <c r="K30" s="1">
        <v>2169300</v>
      </c>
      <c r="L30" s="1">
        <v>85800</v>
      </c>
      <c r="M30" s="1">
        <v>20300</v>
      </c>
      <c r="N30" s="1">
        <f t="shared" si="0"/>
        <v>2556100</v>
      </c>
      <c r="O30" s="3">
        <f t="shared" si="1"/>
        <v>1.8543875435233365E-2</v>
      </c>
      <c r="P30" s="3">
        <f t="shared" si="2"/>
        <v>4.1469426078791912E-3</v>
      </c>
      <c r="Q30" s="3">
        <f t="shared" si="3"/>
        <v>2.7228981651735065E-2</v>
      </c>
      <c r="R30" s="4">
        <f t="shared" si="4"/>
        <v>0.84867571691248389</v>
      </c>
      <c r="S30" s="4">
        <f t="shared" si="5"/>
        <v>0.10981573490864989</v>
      </c>
      <c r="T30" s="4"/>
      <c r="U30" s="4"/>
    </row>
    <row r="31" spans="1:21" x14ac:dyDescent="0.25">
      <c r="A31" t="s">
        <v>42</v>
      </c>
      <c r="B31" s="1">
        <v>9900</v>
      </c>
      <c r="C31" s="1">
        <v>6600</v>
      </c>
      <c r="D31" s="1">
        <v>36800</v>
      </c>
      <c r="E31" s="1">
        <v>13900</v>
      </c>
      <c r="F31" s="1">
        <v>89600</v>
      </c>
      <c r="G31" s="1">
        <v>100</v>
      </c>
      <c r="H31" s="1">
        <v>0</v>
      </c>
      <c r="I31" s="1">
        <v>0</v>
      </c>
      <c r="J31" s="1">
        <v>0</v>
      </c>
      <c r="K31" s="1">
        <v>1185300</v>
      </c>
      <c r="L31" s="1">
        <v>29200</v>
      </c>
      <c r="M31" s="1">
        <v>12300</v>
      </c>
      <c r="N31" s="1">
        <f t="shared" si="0"/>
        <v>1383700</v>
      </c>
      <c r="O31" s="3">
        <f t="shared" si="1"/>
        <v>7.1547300715473008E-3</v>
      </c>
      <c r="P31" s="3">
        <f t="shared" si="2"/>
        <v>4.7698200476982006E-3</v>
      </c>
      <c r="Q31" s="3">
        <f t="shared" si="3"/>
        <v>2.6595360265953601E-2</v>
      </c>
      <c r="R31" s="4">
        <f t="shared" si="4"/>
        <v>0.85661631856616316</v>
      </c>
      <c r="S31" s="4">
        <f t="shared" si="5"/>
        <v>0.11339163113391632</v>
      </c>
      <c r="T31" s="4"/>
      <c r="U31" s="4"/>
    </row>
    <row r="32" spans="1:21" x14ac:dyDescent="0.25">
      <c r="A32" t="s">
        <v>43</v>
      </c>
      <c r="B32" s="1">
        <v>134800</v>
      </c>
      <c r="C32" s="1">
        <v>40900</v>
      </c>
      <c r="D32" s="1">
        <v>174200</v>
      </c>
      <c r="E32" s="1">
        <v>27800</v>
      </c>
      <c r="F32" s="1">
        <v>392100</v>
      </c>
      <c r="G32" s="1">
        <v>300</v>
      </c>
      <c r="H32" s="1">
        <v>0</v>
      </c>
      <c r="I32" s="1">
        <v>0</v>
      </c>
      <c r="J32" s="1">
        <v>0</v>
      </c>
      <c r="K32" s="1">
        <v>6433000</v>
      </c>
      <c r="L32" s="1">
        <v>84600</v>
      </c>
      <c r="M32" s="1">
        <v>36400</v>
      </c>
      <c r="N32" s="1">
        <f t="shared" si="0"/>
        <v>7324100</v>
      </c>
      <c r="O32" s="3">
        <f t="shared" si="1"/>
        <v>1.8404991739599405E-2</v>
      </c>
      <c r="P32" s="3">
        <f t="shared" si="2"/>
        <v>5.5843038735134696E-3</v>
      </c>
      <c r="Q32" s="3">
        <f t="shared" si="3"/>
        <v>2.378449229256837E-2</v>
      </c>
      <c r="R32" s="4">
        <f t="shared" si="4"/>
        <v>0.87833317404186184</v>
      </c>
      <c r="S32" s="4">
        <f t="shared" si="5"/>
        <v>0.10514602476754824</v>
      </c>
      <c r="T32" s="4"/>
      <c r="U32" s="4"/>
    </row>
    <row r="33" spans="1:21" x14ac:dyDescent="0.25">
      <c r="A33" t="s">
        <v>44</v>
      </c>
      <c r="B33" s="1">
        <v>10300</v>
      </c>
      <c r="C33" s="1">
        <v>4900</v>
      </c>
      <c r="D33" s="1">
        <v>44300</v>
      </c>
      <c r="E33" s="1">
        <v>32100</v>
      </c>
      <c r="F33" s="1">
        <v>151600</v>
      </c>
      <c r="G33" s="1">
        <v>100</v>
      </c>
      <c r="H33" s="1">
        <v>100</v>
      </c>
      <c r="I33" s="1">
        <v>0</v>
      </c>
      <c r="J33" s="1">
        <v>0</v>
      </c>
      <c r="K33" s="1">
        <v>1597600</v>
      </c>
      <c r="L33" s="1">
        <v>88500</v>
      </c>
      <c r="M33" s="1">
        <v>22900</v>
      </c>
      <c r="N33" s="1">
        <f t="shared" si="0"/>
        <v>1952400</v>
      </c>
      <c r="O33" s="3">
        <f t="shared" si="1"/>
        <v>5.2755582872362223E-3</v>
      </c>
      <c r="P33" s="3">
        <f t="shared" si="2"/>
        <v>2.5097316123745134E-3</v>
      </c>
      <c r="Q33" s="3">
        <f t="shared" si="3"/>
        <v>2.2690022536365498E-2</v>
      </c>
      <c r="R33" s="4">
        <f t="shared" si="4"/>
        <v>0.81827494365908626</v>
      </c>
      <c r="S33" s="4">
        <f t="shared" si="5"/>
        <v>0.12466707641876665</v>
      </c>
      <c r="T33" s="4"/>
      <c r="U33" s="4"/>
    </row>
    <row r="34" spans="1:21" x14ac:dyDescent="0.25">
      <c r="A34" t="s">
        <v>45</v>
      </c>
      <c r="B34" s="1">
        <v>131300</v>
      </c>
      <c r="C34" s="1">
        <v>92300</v>
      </c>
      <c r="D34" s="1">
        <v>314000</v>
      </c>
      <c r="E34" s="1">
        <v>54300</v>
      </c>
      <c r="F34" s="1">
        <v>591100</v>
      </c>
      <c r="G34" s="1">
        <v>400</v>
      </c>
      <c r="H34" s="1">
        <v>100</v>
      </c>
      <c r="I34" s="1">
        <v>0</v>
      </c>
      <c r="J34" s="1">
        <v>0</v>
      </c>
      <c r="K34" s="1">
        <v>9905500</v>
      </c>
      <c r="L34" s="1">
        <v>150500</v>
      </c>
      <c r="M34" s="1">
        <v>79100</v>
      </c>
      <c r="N34" s="1">
        <f t="shared" si="0"/>
        <v>11318600</v>
      </c>
      <c r="O34" s="3">
        <f t="shared" si="1"/>
        <v>1.1600374604633082E-2</v>
      </c>
      <c r="P34" s="3">
        <f t="shared" si="2"/>
        <v>8.1547187814747409E-3</v>
      </c>
      <c r="Q34" s="3">
        <f t="shared" si="3"/>
        <v>2.7741946883890235E-2</v>
      </c>
      <c r="R34" s="4">
        <f t="shared" si="4"/>
        <v>0.87515240400756278</v>
      </c>
      <c r="S34" s="4">
        <f t="shared" si="5"/>
        <v>0.10456240171045889</v>
      </c>
      <c r="T34" s="4"/>
      <c r="U34" s="4"/>
    </row>
    <row r="35" spans="1:21" x14ac:dyDescent="0.25">
      <c r="A35" t="s">
        <v>46</v>
      </c>
      <c r="B35" s="1">
        <v>70200</v>
      </c>
      <c r="C35" s="1">
        <v>23700</v>
      </c>
      <c r="D35" s="1">
        <v>210600</v>
      </c>
      <c r="E35" s="1">
        <v>80200</v>
      </c>
      <c r="F35" s="1">
        <v>655000</v>
      </c>
      <c r="G35" s="1">
        <v>300</v>
      </c>
      <c r="H35" s="1">
        <v>100</v>
      </c>
      <c r="I35" s="1">
        <v>0</v>
      </c>
      <c r="J35" s="1">
        <v>0</v>
      </c>
      <c r="K35" s="1">
        <v>7764000</v>
      </c>
      <c r="L35" s="1">
        <v>209700</v>
      </c>
      <c r="M35" s="1">
        <v>71700</v>
      </c>
      <c r="N35" s="1">
        <f t="shared" si="0"/>
        <v>9085500</v>
      </c>
      <c r="O35" s="3">
        <f t="shared" si="1"/>
        <v>7.7265973254086184E-3</v>
      </c>
      <c r="P35" s="3">
        <f t="shared" si="2"/>
        <v>2.608552088492653E-3</v>
      </c>
      <c r="Q35" s="3">
        <f t="shared" si="3"/>
        <v>2.3179791976225855E-2</v>
      </c>
      <c r="R35" s="4">
        <f t="shared" si="4"/>
        <v>0.85454845633151721</v>
      </c>
      <c r="S35" s="4">
        <f t="shared" si="5"/>
        <v>0.11447911507346871</v>
      </c>
      <c r="T35" s="4"/>
      <c r="U35" s="4"/>
    </row>
    <row r="36" spans="1:21" x14ac:dyDescent="0.25">
      <c r="A36" t="s">
        <v>47</v>
      </c>
      <c r="B36" s="1">
        <v>1000</v>
      </c>
      <c r="C36" s="1">
        <v>800</v>
      </c>
      <c r="D36" s="1">
        <v>8200</v>
      </c>
      <c r="E36" s="1">
        <v>20400</v>
      </c>
      <c r="F36" s="1">
        <v>89900</v>
      </c>
      <c r="G36" s="1">
        <v>0</v>
      </c>
      <c r="H36" s="1">
        <v>0</v>
      </c>
      <c r="I36" s="1">
        <v>0</v>
      </c>
      <c r="J36" s="1">
        <v>0</v>
      </c>
      <c r="K36" s="1">
        <v>625300</v>
      </c>
      <c r="L36" s="1">
        <v>44600</v>
      </c>
      <c r="M36" s="1">
        <v>7200</v>
      </c>
      <c r="N36" s="1">
        <f t="shared" si="0"/>
        <v>797400</v>
      </c>
      <c r="O36" s="3">
        <f t="shared" si="1"/>
        <v>1.2540757461750689E-3</v>
      </c>
      <c r="P36" s="3">
        <f t="shared" si="2"/>
        <v>1.0032605969400551E-3</v>
      </c>
      <c r="Q36" s="3">
        <f t="shared" si="3"/>
        <v>1.0283421118635566E-2</v>
      </c>
      <c r="R36" s="4">
        <f t="shared" si="4"/>
        <v>0.78417356408327066</v>
      </c>
      <c r="S36" s="4">
        <f t="shared" si="5"/>
        <v>0.1508653122648608</v>
      </c>
      <c r="T36" s="4"/>
      <c r="U36" s="4"/>
    </row>
    <row r="37" spans="1:21" x14ac:dyDescent="0.25">
      <c r="A37" t="s">
        <v>48</v>
      </c>
      <c r="B37" s="1">
        <v>50400</v>
      </c>
      <c r="C37" s="1">
        <v>24000</v>
      </c>
      <c r="D37" s="1">
        <v>199800</v>
      </c>
      <c r="E37" s="1">
        <v>70300</v>
      </c>
      <c r="F37" s="1">
        <v>833500</v>
      </c>
      <c r="G37" s="1">
        <v>700</v>
      </c>
      <c r="H37" s="1">
        <v>100</v>
      </c>
      <c r="I37" s="1">
        <v>0</v>
      </c>
      <c r="J37" s="1">
        <v>0</v>
      </c>
      <c r="K37" s="1">
        <v>8881400</v>
      </c>
      <c r="L37" s="1">
        <v>196200</v>
      </c>
      <c r="M37" s="1">
        <v>60900</v>
      </c>
      <c r="N37" s="1">
        <f t="shared" si="0"/>
        <v>10317300</v>
      </c>
      <c r="O37" s="3">
        <f t="shared" si="1"/>
        <v>4.8849989822918787E-3</v>
      </c>
      <c r="P37" s="3">
        <f t="shared" si="2"/>
        <v>2.3261899915675613E-3</v>
      </c>
      <c r="Q37" s="3">
        <f t="shared" si="3"/>
        <v>1.9365531679799947E-2</v>
      </c>
      <c r="R37" s="4">
        <f t="shared" si="4"/>
        <v>0.86082599129617243</v>
      </c>
      <c r="S37" s="4">
        <f t="shared" si="5"/>
        <v>0.11425469841916006</v>
      </c>
      <c r="T37" s="2"/>
    </row>
    <row r="38" spans="1:21" x14ac:dyDescent="0.25">
      <c r="A38" t="s">
        <v>49</v>
      </c>
      <c r="B38" s="1">
        <v>22800</v>
      </c>
      <c r="C38" s="1">
        <v>33000</v>
      </c>
      <c r="D38" s="1">
        <v>56400</v>
      </c>
      <c r="E38" s="1">
        <v>63100</v>
      </c>
      <c r="F38" s="1">
        <v>352400</v>
      </c>
      <c r="G38" s="1">
        <v>1800</v>
      </c>
      <c r="H38" s="1">
        <v>200</v>
      </c>
      <c r="I38" s="1">
        <v>0</v>
      </c>
      <c r="J38" s="1">
        <v>0</v>
      </c>
      <c r="K38" s="1">
        <v>3567500</v>
      </c>
      <c r="L38" s="1">
        <v>145700</v>
      </c>
      <c r="M38" s="1">
        <v>45000</v>
      </c>
      <c r="N38" s="1">
        <f t="shared" si="0"/>
        <v>4287900</v>
      </c>
      <c r="O38" s="3">
        <f t="shared" si="1"/>
        <v>5.3172881830266562E-3</v>
      </c>
      <c r="P38" s="3">
        <f t="shared" si="2"/>
        <v>7.6960750017491079E-3</v>
      </c>
      <c r="Q38" s="3">
        <f t="shared" si="3"/>
        <v>1.3153291821171203E-2</v>
      </c>
      <c r="R38" s="4">
        <f t="shared" si="4"/>
        <v>0.83199235056787701</v>
      </c>
      <c r="S38" s="4">
        <f t="shared" si="5"/>
        <v>0.1235336644977728</v>
      </c>
      <c r="T38" s="5"/>
      <c r="U38" s="4"/>
    </row>
    <row r="39" spans="1:21" x14ac:dyDescent="0.25">
      <c r="A39" t="s">
        <v>50</v>
      </c>
      <c r="B39" s="1">
        <v>64400</v>
      </c>
      <c r="C39" s="1">
        <v>28800</v>
      </c>
      <c r="D39" s="1">
        <v>156900</v>
      </c>
      <c r="E39" s="1">
        <v>55500</v>
      </c>
      <c r="F39" s="1">
        <v>184600</v>
      </c>
      <c r="G39" s="1">
        <v>100</v>
      </c>
      <c r="H39" s="1">
        <v>100</v>
      </c>
      <c r="I39" s="1">
        <v>0</v>
      </c>
      <c r="J39" s="1">
        <v>0</v>
      </c>
      <c r="K39" s="1">
        <v>3074300</v>
      </c>
      <c r="L39" s="1">
        <v>217000</v>
      </c>
      <c r="M39" s="1">
        <v>51000</v>
      </c>
      <c r="N39" s="1">
        <f t="shared" si="0"/>
        <v>3832700</v>
      </c>
      <c r="O39" s="3">
        <f t="shared" si="1"/>
        <v>1.6802776110835704E-2</v>
      </c>
      <c r="P39" s="3">
        <f t="shared" si="2"/>
        <v>7.5142849688209353E-3</v>
      </c>
      <c r="Q39" s="3">
        <f t="shared" si="3"/>
        <v>4.0937198319722388E-2</v>
      </c>
      <c r="R39" s="4">
        <f t="shared" si="4"/>
        <v>0.80212382915438207</v>
      </c>
      <c r="S39" s="4">
        <f t="shared" si="5"/>
        <v>0.12795157460797871</v>
      </c>
      <c r="T39" s="4"/>
      <c r="U39" s="4"/>
    </row>
    <row r="40" spans="1:21" x14ac:dyDescent="0.25">
      <c r="A40" t="s">
        <v>51</v>
      </c>
      <c r="B40" s="1">
        <v>70200</v>
      </c>
      <c r="C40" s="1">
        <v>38900</v>
      </c>
      <c r="D40" s="1">
        <v>245400</v>
      </c>
      <c r="E40" s="1">
        <v>73900</v>
      </c>
      <c r="F40" s="1">
        <v>661700</v>
      </c>
      <c r="G40" s="1">
        <v>500</v>
      </c>
      <c r="H40" s="1">
        <v>100</v>
      </c>
      <c r="I40" s="1">
        <v>0</v>
      </c>
      <c r="J40" s="1">
        <v>0</v>
      </c>
      <c r="K40" s="1">
        <v>8886400</v>
      </c>
      <c r="L40" s="1">
        <v>192100</v>
      </c>
      <c r="M40" s="1">
        <v>41800</v>
      </c>
      <c r="N40" s="1">
        <f t="shared" si="0"/>
        <v>10211000</v>
      </c>
      <c r="O40" s="3">
        <f t="shared" si="1"/>
        <v>6.8749387914993632E-3</v>
      </c>
      <c r="P40" s="3">
        <f t="shared" si="2"/>
        <v>3.8096170796200176E-3</v>
      </c>
      <c r="Q40" s="3">
        <f t="shared" si="3"/>
        <v>2.4032905689942218E-2</v>
      </c>
      <c r="R40" s="4">
        <f t="shared" si="4"/>
        <v>0.87027715209088241</v>
      </c>
      <c r="S40" s="4">
        <f t="shared" si="5"/>
        <v>0.10681617863088826</v>
      </c>
      <c r="T40" s="4"/>
      <c r="U40" s="4"/>
    </row>
    <row r="41" spans="1:21" x14ac:dyDescent="0.25">
      <c r="A41" t="s">
        <v>52</v>
      </c>
      <c r="B41" s="1">
        <v>6400</v>
      </c>
      <c r="C41" s="1">
        <v>5100</v>
      </c>
      <c r="D41" s="1">
        <v>22100</v>
      </c>
      <c r="E41" s="1">
        <v>3100</v>
      </c>
      <c r="F41" s="1">
        <v>41900</v>
      </c>
      <c r="G41" s="1">
        <v>0</v>
      </c>
      <c r="H41" s="1">
        <v>0</v>
      </c>
      <c r="I41" s="1">
        <v>0</v>
      </c>
      <c r="J41" s="1">
        <v>0</v>
      </c>
      <c r="K41" s="1">
        <v>782000</v>
      </c>
      <c r="L41" s="1">
        <v>11000</v>
      </c>
      <c r="M41" s="1">
        <v>6000</v>
      </c>
      <c r="N41" s="1">
        <f t="shared" si="0"/>
        <v>877600</v>
      </c>
      <c r="O41" s="3">
        <f t="shared" si="1"/>
        <v>7.2926162260711028E-3</v>
      </c>
      <c r="P41" s="3">
        <f t="shared" si="2"/>
        <v>5.8113035551504103E-3</v>
      </c>
      <c r="Q41" s="3">
        <f t="shared" si="3"/>
        <v>2.5182315405651776E-2</v>
      </c>
      <c r="R41" s="4">
        <f t="shared" si="4"/>
        <v>0.89106654512306294</v>
      </c>
      <c r="S41" s="4">
        <f t="shared" si="5"/>
        <v>8.9562443026435734E-2</v>
      </c>
      <c r="T41" s="4"/>
      <c r="U41" s="4"/>
    </row>
    <row r="42" spans="1:21" x14ac:dyDescent="0.25">
      <c r="A42" t="s">
        <v>53</v>
      </c>
      <c r="B42" s="1">
        <v>20900</v>
      </c>
      <c r="C42" s="1">
        <v>9000</v>
      </c>
      <c r="D42" s="1">
        <v>83100</v>
      </c>
      <c r="E42" s="1">
        <v>44600</v>
      </c>
      <c r="F42" s="1">
        <v>404600</v>
      </c>
      <c r="G42" s="1">
        <v>100</v>
      </c>
      <c r="H42" s="1">
        <v>100</v>
      </c>
      <c r="I42" s="1">
        <v>0</v>
      </c>
      <c r="J42" s="1">
        <v>0</v>
      </c>
      <c r="K42" s="1">
        <v>4325000</v>
      </c>
      <c r="L42" s="1">
        <v>110100</v>
      </c>
      <c r="M42" s="1">
        <v>44900</v>
      </c>
      <c r="N42" s="1">
        <f t="shared" si="0"/>
        <v>5042400</v>
      </c>
      <c r="O42" s="3">
        <f t="shared" si="1"/>
        <v>4.1448516579406635E-3</v>
      </c>
      <c r="P42" s="3">
        <f t="shared" si="2"/>
        <v>1.7848643503093765E-3</v>
      </c>
      <c r="Q42" s="3">
        <f t="shared" si="3"/>
        <v>1.6480247501189909E-2</v>
      </c>
      <c r="R42" s="4">
        <f t="shared" si="4"/>
        <v>0.8577264794542282</v>
      </c>
      <c r="S42" s="4">
        <f t="shared" si="5"/>
        <v>0.11153419006822148</v>
      </c>
      <c r="T42" s="4"/>
      <c r="U42" s="4"/>
    </row>
    <row r="43" spans="1:21" x14ac:dyDescent="0.25">
      <c r="A43" t="s">
        <v>54</v>
      </c>
      <c r="B43" s="1">
        <v>1700</v>
      </c>
      <c r="C43" s="1">
        <v>1300</v>
      </c>
      <c r="D43" s="1">
        <v>11900</v>
      </c>
      <c r="E43" s="1">
        <v>21500</v>
      </c>
      <c r="F43" s="1">
        <v>98800</v>
      </c>
      <c r="G43" s="1">
        <v>0</v>
      </c>
      <c r="H43" s="1">
        <v>0</v>
      </c>
      <c r="I43" s="1">
        <v>0</v>
      </c>
      <c r="J43" s="1">
        <v>0</v>
      </c>
      <c r="K43" s="1">
        <v>718300</v>
      </c>
      <c r="L43" s="1">
        <v>51200</v>
      </c>
      <c r="M43" s="1">
        <v>13300</v>
      </c>
      <c r="N43" s="1">
        <f t="shared" si="0"/>
        <v>918000</v>
      </c>
      <c r="O43" s="3">
        <f t="shared" si="1"/>
        <v>1.8518518518518519E-3</v>
      </c>
      <c r="P43" s="3">
        <f t="shared" si="2"/>
        <v>1.4161220043572985E-3</v>
      </c>
      <c r="Q43" s="3">
        <f t="shared" si="3"/>
        <v>1.2962962962962963E-2</v>
      </c>
      <c r="R43" s="4">
        <f t="shared" si="4"/>
        <v>0.78246187363834419</v>
      </c>
      <c r="S43" s="4">
        <f t="shared" si="5"/>
        <v>0.14727668845315905</v>
      </c>
      <c r="T43" s="4"/>
      <c r="U43" s="4"/>
    </row>
    <row r="44" spans="1:21" x14ac:dyDescent="0.25">
      <c r="A44" t="s">
        <v>55</v>
      </c>
      <c r="B44" s="1">
        <v>33200</v>
      </c>
      <c r="C44" s="1">
        <v>11000</v>
      </c>
      <c r="D44" s="1">
        <v>113300</v>
      </c>
      <c r="E44" s="1">
        <v>53100</v>
      </c>
      <c r="F44" s="1">
        <v>509000</v>
      </c>
      <c r="G44" s="1">
        <v>200</v>
      </c>
      <c r="H44" s="1">
        <v>100</v>
      </c>
      <c r="I44" s="1">
        <v>0</v>
      </c>
      <c r="J44" s="1">
        <v>0</v>
      </c>
      <c r="K44" s="1">
        <v>5620500</v>
      </c>
      <c r="L44" s="1">
        <v>160700</v>
      </c>
      <c r="M44" s="1">
        <v>37700</v>
      </c>
      <c r="N44" s="1">
        <f t="shared" si="0"/>
        <v>6538800</v>
      </c>
      <c r="O44" s="3">
        <f t="shared" si="1"/>
        <v>5.0773842295222362E-3</v>
      </c>
      <c r="P44" s="3">
        <f t="shared" si="2"/>
        <v>1.6822658591790544E-3</v>
      </c>
      <c r="Q44" s="3">
        <f t="shared" si="3"/>
        <v>1.7327338349544259E-2</v>
      </c>
      <c r="R44" s="4">
        <f t="shared" si="4"/>
        <v>0.85956138741053401</v>
      </c>
      <c r="S44" s="4">
        <f t="shared" si="5"/>
        <v>0.11009665382027284</v>
      </c>
      <c r="T44" s="4"/>
      <c r="U44" s="4"/>
    </row>
    <row r="45" spans="1:21" x14ac:dyDescent="0.25">
      <c r="A45" t="s">
        <v>56</v>
      </c>
      <c r="B45" s="1">
        <v>230100</v>
      </c>
      <c r="C45" s="1">
        <v>55300</v>
      </c>
      <c r="D45" s="1">
        <v>445100</v>
      </c>
      <c r="E45" s="1">
        <v>460700</v>
      </c>
      <c r="F45" s="1">
        <v>2315400</v>
      </c>
      <c r="G45" s="1">
        <v>1300</v>
      </c>
      <c r="H45" s="1">
        <v>1300</v>
      </c>
      <c r="I45" s="1">
        <v>0</v>
      </c>
      <c r="J45" s="1">
        <v>0</v>
      </c>
      <c r="K45" s="1">
        <v>21392800</v>
      </c>
      <c r="L45" s="1">
        <v>772800</v>
      </c>
      <c r="M45" s="1">
        <v>121800</v>
      </c>
      <c r="N45" s="1">
        <f t="shared" si="0"/>
        <v>25796600</v>
      </c>
      <c r="O45" s="3">
        <f t="shared" si="1"/>
        <v>8.9197801260631239E-3</v>
      </c>
      <c r="P45" s="3">
        <f t="shared" si="2"/>
        <v>2.1436933549382475E-3</v>
      </c>
      <c r="Q45" s="3">
        <f t="shared" si="3"/>
        <v>1.7254211795352876E-2</v>
      </c>
      <c r="R45" s="4">
        <f t="shared" si="4"/>
        <v>0.82928758053386875</v>
      </c>
      <c r="S45" s="4">
        <f t="shared" si="5"/>
        <v>0.13603343076219346</v>
      </c>
      <c r="T45" s="4"/>
      <c r="U45" s="4"/>
    </row>
    <row r="46" spans="1:21" x14ac:dyDescent="0.25">
      <c r="A46" t="s">
        <v>57</v>
      </c>
      <c r="B46" s="1">
        <v>40000</v>
      </c>
      <c r="C46" s="1">
        <v>13000</v>
      </c>
      <c r="D46" s="1">
        <v>83200</v>
      </c>
      <c r="E46" s="1">
        <v>68500</v>
      </c>
      <c r="F46" s="1">
        <v>185200</v>
      </c>
      <c r="G46" s="1">
        <v>2200</v>
      </c>
      <c r="H46" s="1">
        <v>500</v>
      </c>
      <c r="I46" s="1">
        <v>0</v>
      </c>
      <c r="J46" s="1">
        <v>0</v>
      </c>
      <c r="K46" s="1">
        <v>2499600</v>
      </c>
      <c r="L46" s="1">
        <v>158000</v>
      </c>
      <c r="M46" s="1">
        <v>26000</v>
      </c>
      <c r="N46" s="1">
        <f t="shared" si="0"/>
        <v>3076200</v>
      </c>
      <c r="O46" s="3">
        <f t="shared" si="1"/>
        <v>1.3003055718093752E-2</v>
      </c>
      <c r="P46" s="3">
        <f t="shared" si="2"/>
        <v>4.2259931083804695E-3</v>
      </c>
      <c r="Q46" s="3">
        <f t="shared" si="3"/>
        <v>2.7046355893635004E-2</v>
      </c>
      <c r="R46" s="4">
        <f t="shared" si="4"/>
        <v>0.8125609518236786</v>
      </c>
      <c r="S46" s="4">
        <f t="shared" si="5"/>
        <v>0.12762499187309018</v>
      </c>
      <c r="T46" s="4"/>
      <c r="U46" s="4"/>
    </row>
    <row r="47" spans="1:21" x14ac:dyDescent="0.25">
      <c r="A47" t="s">
        <v>58</v>
      </c>
      <c r="B47" s="1">
        <v>7800</v>
      </c>
      <c r="C47" s="1">
        <v>5700</v>
      </c>
      <c r="D47" s="1">
        <v>20300</v>
      </c>
      <c r="E47" s="1">
        <v>7000</v>
      </c>
      <c r="F47" s="1">
        <v>36600</v>
      </c>
      <c r="G47" s="1">
        <v>0</v>
      </c>
      <c r="H47" s="1">
        <v>0</v>
      </c>
      <c r="I47" s="1">
        <v>0</v>
      </c>
      <c r="J47" s="1">
        <v>0</v>
      </c>
      <c r="K47" s="1">
        <v>496000</v>
      </c>
      <c r="L47" s="1">
        <v>14700</v>
      </c>
      <c r="M47" s="1">
        <v>5000</v>
      </c>
      <c r="N47" s="1">
        <f t="shared" si="0"/>
        <v>593100</v>
      </c>
      <c r="O47" s="3">
        <f t="shared" si="1"/>
        <v>1.3151239251390997E-2</v>
      </c>
      <c r="P47" s="3">
        <f t="shared" si="2"/>
        <v>9.6105209914011131E-3</v>
      </c>
      <c r="Q47" s="3">
        <f t="shared" si="3"/>
        <v>3.4226943179902207E-2</v>
      </c>
      <c r="R47" s="4">
        <f t="shared" si="4"/>
        <v>0.83628393188332495</v>
      </c>
      <c r="S47" s="4">
        <f t="shared" si="5"/>
        <v>0.13050075872534142</v>
      </c>
      <c r="T47" s="4"/>
      <c r="U47" s="4"/>
    </row>
    <row r="48" spans="1:21" x14ac:dyDescent="0.25">
      <c r="A48" t="s">
        <v>59</v>
      </c>
      <c r="B48" s="1">
        <v>84900</v>
      </c>
      <c r="C48" s="1">
        <v>26800</v>
      </c>
      <c r="D48" s="1">
        <v>229400</v>
      </c>
      <c r="E48" s="1">
        <v>44300</v>
      </c>
      <c r="F48" s="1">
        <v>484800</v>
      </c>
      <c r="G48" s="1">
        <v>300</v>
      </c>
      <c r="H48" s="1">
        <v>0</v>
      </c>
      <c r="I48" s="1">
        <v>0</v>
      </c>
      <c r="J48" s="1">
        <v>0</v>
      </c>
      <c r="K48" s="1">
        <v>6670000</v>
      </c>
      <c r="L48" s="1">
        <v>152800</v>
      </c>
      <c r="M48" s="1">
        <v>30200</v>
      </c>
      <c r="N48" s="1">
        <f t="shared" si="0"/>
        <v>7723500</v>
      </c>
      <c r="O48" s="3">
        <f t="shared" si="1"/>
        <v>1.0992425713730821E-2</v>
      </c>
      <c r="P48" s="3">
        <f t="shared" si="2"/>
        <v>3.4699294361364664E-3</v>
      </c>
      <c r="Q48" s="3">
        <f t="shared" si="3"/>
        <v>2.9701560173496473E-2</v>
      </c>
      <c r="R48" s="4">
        <f t="shared" si="4"/>
        <v>0.86359810966530715</v>
      </c>
      <c r="S48" s="4">
        <f t="shared" si="5"/>
        <v>0.112707969184955</v>
      </c>
      <c r="T48" s="4"/>
      <c r="U48" s="4"/>
    </row>
    <row r="49" spans="1:21" x14ac:dyDescent="0.25">
      <c r="A49" t="s">
        <v>60</v>
      </c>
      <c r="B49" s="1">
        <v>152100</v>
      </c>
      <c r="C49" s="1">
        <v>41200</v>
      </c>
      <c r="D49" s="1">
        <v>307200</v>
      </c>
      <c r="E49" s="1">
        <v>73800</v>
      </c>
      <c r="F49" s="1">
        <v>337700</v>
      </c>
      <c r="G49" s="1">
        <v>100</v>
      </c>
      <c r="H49" s="1">
        <v>100</v>
      </c>
      <c r="I49" s="1">
        <v>0</v>
      </c>
      <c r="J49" s="1">
        <v>0</v>
      </c>
      <c r="K49" s="1">
        <v>5583000</v>
      </c>
      <c r="L49" s="1">
        <v>274200</v>
      </c>
      <c r="M49" s="1">
        <v>46700</v>
      </c>
      <c r="N49" s="1">
        <f t="shared" si="0"/>
        <v>6816100</v>
      </c>
      <c r="O49" s="3">
        <f t="shared" si="1"/>
        <v>2.2314813456375347E-2</v>
      </c>
      <c r="P49" s="3">
        <f t="shared" si="2"/>
        <v>6.0445122577426971E-3</v>
      </c>
      <c r="Q49" s="3">
        <f t="shared" si="3"/>
        <v>4.5069761300450407E-2</v>
      </c>
      <c r="R49" s="4">
        <f t="shared" si="4"/>
        <v>0.81909009550916212</v>
      </c>
      <c r="S49" s="4">
        <f t="shared" si="5"/>
        <v>0.13383019615322544</v>
      </c>
      <c r="T49" s="2"/>
    </row>
    <row r="50" spans="1:21" x14ac:dyDescent="0.25">
      <c r="A50" t="s">
        <v>61</v>
      </c>
      <c r="B50" s="1">
        <v>2800</v>
      </c>
      <c r="C50" s="1">
        <v>1800</v>
      </c>
      <c r="D50" s="1">
        <v>22400</v>
      </c>
      <c r="E50" s="1">
        <v>17300</v>
      </c>
      <c r="F50" s="1">
        <v>123400</v>
      </c>
      <c r="G50" s="1">
        <v>100</v>
      </c>
      <c r="H50" s="1">
        <v>0</v>
      </c>
      <c r="I50" s="1">
        <v>0</v>
      </c>
      <c r="J50" s="1">
        <v>0</v>
      </c>
      <c r="K50" s="1">
        <v>1281500</v>
      </c>
      <c r="L50" s="1">
        <v>46400</v>
      </c>
      <c r="M50" s="1">
        <v>15200</v>
      </c>
      <c r="N50" s="1">
        <f t="shared" si="0"/>
        <v>1510900</v>
      </c>
      <c r="O50" s="3">
        <f t="shared" si="1"/>
        <v>1.8532000794228606E-3</v>
      </c>
      <c r="P50" s="3">
        <f t="shared" si="2"/>
        <v>1.1913429082004105E-3</v>
      </c>
      <c r="Q50" s="3">
        <f t="shared" si="3"/>
        <v>1.4825600635382885E-2</v>
      </c>
      <c r="R50" s="4">
        <f t="shared" si="4"/>
        <v>0.84816996492156993</v>
      </c>
      <c r="S50" s="4">
        <f t="shared" si="5"/>
        <v>0.11105963333112714</v>
      </c>
      <c r="T50" s="5"/>
      <c r="U50" s="4"/>
    </row>
    <row r="51" spans="1:21" x14ac:dyDescent="0.25">
      <c r="A51" t="s">
        <v>62</v>
      </c>
      <c r="B51" s="1">
        <v>24900</v>
      </c>
      <c r="C51" s="1">
        <v>12500</v>
      </c>
      <c r="D51" s="1">
        <v>123600</v>
      </c>
      <c r="E51" s="1">
        <v>52900</v>
      </c>
      <c r="F51" s="1">
        <v>536200</v>
      </c>
      <c r="G51" s="1">
        <v>300</v>
      </c>
      <c r="H51" s="1">
        <v>0</v>
      </c>
      <c r="I51" s="1">
        <v>0</v>
      </c>
      <c r="J51" s="1">
        <v>0</v>
      </c>
      <c r="K51" s="1">
        <v>4604700</v>
      </c>
      <c r="L51" s="1">
        <v>147500</v>
      </c>
      <c r="M51" s="1">
        <v>26400</v>
      </c>
      <c r="N51" s="1">
        <f t="shared" si="0"/>
        <v>5529000</v>
      </c>
      <c r="O51" s="3">
        <f t="shared" si="1"/>
        <v>4.5035268583830711E-3</v>
      </c>
      <c r="P51" s="3">
        <f t="shared" si="2"/>
        <v>2.2608066558147946E-3</v>
      </c>
      <c r="Q51" s="3">
        <f t="shared" si="3"/>
        <v>2.2354856212696689E-2</v>
      </c>
      <c r="R51" s="4">
        <f t="shared" si="4"/>
        <v>0.83282691264243081</v>
      </c>
      <c r="S51" s="4">
        <f t="shared" si="5"/>
        <v>0.13572074516187377</v>
      </c>
      <c r="T51" s="4"/>
      <c r="U51" s="4"/>
    </row>
    <row r="52" spans="1:21" x14ac:dyDescent="0.25">
      <c r="A52" t="s">
        <v>63</v>
      </c>
      <c r="B52" s="1">
        <v>1100</v>
      </c>
      <c r="C52" s="1">
        <v>800</v>
      </c>
      <c r="D52" s="1">
        <v>8400</v>
      </c>
      <c r="E52" s="1">
        <v>21200</v>
      </c>
      <c r="F52" s="1">
        <v>57700</v>
      </c>
      <c r="G52" s="1">
        <v>0</v>
      </c>
      <c r="H52" s="1">
        <v>0</v>
      </c>
      <c r="I52" s="1">
        <v>0</v>
      </c>
      <c r="J52" s="1">
        <v>0</v>
      </c>
      <c r="K52" s="1">
        <v>489100</v>
      </c>
      <c r="L52" s="1">
        <v>60900</v>
      </c>
      <c r="M52" s="1">
        <v>13700</v>
      </c>
      <c r="N52" s="1">
        <f t="shared" si="0"/>
        <v>652900</v>
      </c>
      <c r="O52" s="3">
        <f t="shared" si="1"/>
        <v>1.6847909327615256E-3</v>
      </c>
      <c r="P52" s="3">
        <f t="shared" si="2"/>
        <v>1.2253024965538366E-3</v>
      </c>
      <c r="Q52" s="3">
        <f t="shared" si="3"/>
        <v>1.2865676213815286E-2</v>
      </c>
      <c r="R52" s="4">
        <f t="shared" si="4"/>
        <v>0.74911931383060193</v>
      </c>
      <c r="S52" s="4">
        <f t="shared" si="5"/>
        <v>0.1366212283657528</v>
      </c>
      <c r="T52" s="4"/>
      <c r="U5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</dc:creator>
  <cp:lastModifiedBy>rs4v8</cp:lastModifiedBy>
  <dcterms:created xsi:type="dcterms:W3CDTF">2026-07-19T07:47:27Z</dcterms:created>
  <dcterms:modified xsi:type="dcterms:W3CDTF">2026-07-19T07:47:27Z</dcterms:modified>
</cp:coreProperties>
</file>